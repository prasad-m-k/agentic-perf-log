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deepamk/Downloads/"/>
    </mc:Choice>
  </mc:AlternateContent>
  <xr:revisionPtr revIDLastSave="0" documentId="13_ncr:1_{46A48477-6DF9-6A46-ADF0-40F931014FE3}" xr6:coauthVersionLast="47" xr6:coauthVersionMax="47" xr10:uidLastSave="{00000000-0000-0000-0000-000000000000}"/>
  <bookViews>
    <workbookView xWindow="0" yWindow="600" windowWidth="38400" windowHeight="19500" tabRatio="500" xr2:uid="{00000000-000D-0000-FFFF-FFFF00000000}"/>
  </bookViews>
  <sheets>
    <sheet name="Log" sheetId="1" r:id="rId1"/>
    <sheet name="Dashboard" sheetId="2" r:id="rId2"/>
    <sheet name="READM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8" i="2" l="1"/>
  <c r="D28" i="2" s="1"/>
  <c r="B28" i="2"/>
  <c r="C27" i="2"/>
  <c r="B27" i="2"/>
  <c r="C26" i="2"/>
  <c r="B26" i="2"/>
  <c r="C25" i="2"/>
  <c r="B25" i="2"/>
  <c r="C24" i="2"/>
  <c r="D24" i="2" s="1"/>
  <c r="B24" i="2"/>
  <c r="C23" i="2"/>
  <c r="D23" i="2" s="1"/>
  <c r="B23" i="2"/>
  <c r="C22" i="2"/>
  <c r="B22" i="2"/>
  <c r="B17" i="2"/>
  <c r="B16" i="2"/>
  <c r="B15" i="2"/>
  <c r="B14" i="2"/>
  <c r="B13" i="2"/>
  <c r="B12" i="2"/>
  <c r="B6" i="2"/>
  <c r="B7" i="2" s="1"/>
  <c r="B5" i="2"/>
  <c r="D25" i="2" l="1"/>
  <c r="D27" i="2"/>
  <c r="D22" i="2"/>
  <c r="D26" i="2"/>
</calcChain>
</file>

<file path=xl/sharedStrings.xml><?xml version="1.0" encoding="utf-8"?>
<sst xmlns="http://schemas.openxmlformats.org/spreadsheetml/2006/main" count="91" uniqueCount="80">
  <si>
    <t>Date</t>
  </si>
  <si>
    <t>Task ID</t>
  </si>
  <si>
    <t>Task Category</t>
  </si>
  <si>
    <t>Agent/Model</t>
  </si>
  <si>
    <t>Correction Needed (Y/N)</t>
  </si>
  <si>
    <t>Correction Type</t>
  </si>
  <si>
    <t>Notes</t>
  </si>
  <si>
    <t>Logged By</t>
  </si>
  <si>
    <t>Test Generation</t>
  </si>
  <si>
    <t>Claude Code</t>
  </si>
  <si>
    <t>N</t>
  </si>
  <si>
    <t>agent</t>
  </si>
  <si>
    <t>2026-08-02</t>
  </si>
  <si>
    <t>TASK-002</t>
  </si>
  <si>
    <t>New Feature</t>
  </si>
  <si>
    <t>Y</t>
  </si>
  <si>
    <t>Wrong Assumption</t>
  </si>
  <si>
    <t>Assumed webhook handler was in scope, was not</t>
  </si>
  <si>
    <t>2026-08-03</t>
  </si>
  <si>
    <t>TASK-003</t>
  </si>
  <si>
    <t>Refactor</t>
  </si>
  <si>
    <t>Scope Creep</t>
  </si>
  <si>
    <t>Touched two extra files not mentioned in the task spec</t>
  </si>
  <si>
    <t>2026-08-04</t>
  </si>
  <si>
    <t>TASK-004</t>
  </si>
  <si>
    <t>Bug Fix</t>
  </si>
  <si>
    <t>Fix matched the reported issue, tests passed</t>
  </si>
  <si>
    <t>How to use this sheet</t>
  </si>
  <si>
    <t>- Add one row per reviewed task, right after you accept or reject the agent's output.</t>
  </si>
  <si>
    <t>- Yellow rows above are examples only. Delete them once you have real data.</t>
  </si>
  <si>
    <t>- Correction Type is only filled in when Correction Needed = Y.</t>
  </si>
  <si>
    <t>- Logged By: 'agent' if the agent appended the row itself, or your name/handle if logged manually.</t>
  </si>
  <si>
    <t>- See the Dashboard tab for the automatic summary. It updates as you add rows.</t>
  </si>
  <si>
    <t>Agent Correction Tracker — Dashboard</t>
  </si>
  <si>
    <t>All numbers below are formulas. Add rows to the Log tab and this updates automatically.</t>
  </si>
  <si>
    <t>Overview</t>
  </si>
  <si>
    <t>Total tasks logged</t>
  </si>
  <si>
    <t>Corrections needed</t>
  </si>
  <si>
    <t>Correction rate</t>
  </si>
  <si>
    <t>Corrections by Type</t>
  </si>
  <si>
    <t>Type</t>
  </si>
  <si>
    <t>Count</t>
  </si>
  <si>
    <t>Missed Edge Case</t>
  </si>
  <si>
    <t>Style Mismatch</t>
  </si>
  <si>
    <t>Logic Error</t>
  </si>
  <si>
    <t>Other</t>
  </si>
  <si>
    <t>By Task Category</t>
  </si>
  <si>
    <t>Category</t>
  </si>
  <si>
    <t>Total</t>
  </si>
  <si>
    <t>Corrected</t>
  </si>
  <si>
    <t>Rate</t>
  </si>
  <si>
    <t>Documentation</t>
  </si>
  <si>
    <t>Config/Boilerplate</t>
  </si>
  <si>
    <t>Read this like a manager reads a report, not like an infra dashboard.</t>
  </si>
  <si>
    <t>A high correction rate on one category means tighten your task specs there, not that the agent is bad.</t>
  </si>
  <si>
    <t>Agent Correction Tracker</t>
  </si>
  <si>
    <t>What this is</t>
  </si>
  <si>
    <t>A lightweight way to track whether an AI coding agent's output needed correcting, and what</t>
  </si>
  <si>
    <t>kind of correction it needed. Not tokens, not latency, not CPU. This tracks judgment quality:</t>
  </si>
  <si>
    <t>did the agent make a good call on the task it was given.</t>
  </si>
  <si>
    <t>How to use it</t>
  </si>
  <si>
    <t>1. Every time you review agent output before merging or shipping, add one row to the Log tab.</t>
  </si>
  <si>
    <t>2. Mark whether a correction was needed. If yes, pick the correction type from the dropdown.</t>
  </si>
  <si>
    <t>3. The Dashboard tab updates automatically. No manual math.</t>
  </si>
  <si>
    <t>4. Delete the four yellow example rows on the Log tab once you have real entries.</t>
  </si>
  <si>
    <t>Correction types</t>
  </si>
  <si>
    <t>Wrong Assumption   - the agent guessed at something ambiguous and guessed wrong.</t>
  </si>
  <si>
    <t>Missed Edge Case   - the happy path worked, an edge case did not.</t>
  </si>
  <si>
    <t>Scope Creep        - the agent touched more than the task asked for.</t>
  </si>
  <si>
    <t>Style Mismatch     - functionally fine, did not match team conventions.</t>
  </si>
  <si>
    <t>Logic Error        - the core logic was wrong, not an edge case, the main path.</t>
  </si>
  <si>
    <t>Letting the agent log itself</t>
  </si>
  <si>
    <t>See update_log.py and CLAUDE.md in this repo for a script that lets an agent append its own</t>
  </si>
  <si>
    <t>row after finishing a task, instead of you doing it by hand. You still review before shipping,</t>
  </si>
  <si>
    <t>the agent just fills in the paperwork.</t>
  </si>
  <si>
    <t>Why this instead of token/CPU metrics</t>
  </si>
  <si>
    <t>Cost and speed metrics tell you what a task cost to run. They say nothing about whether the</t>
  </si>
  <si>
    <t>output was good. Correction rate and correction type are a closer proxy for the thing a</t>
  </si>
  <si>
    <t>business owner actually cares about: is this agent's judgment getting better over time, and</t>
  </si>
  <si>
    <t>on what kind of 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</si>
</sst>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i/>
      <sz val="9"/>
      <color rgb="FF555555"/>
      <name val="Arial"/>
      <family val="2"/>
    </font>
    <font>
      <b/>
      <sz val="14"/>
      <name val="Arial"/>
      <family val="2"/>
    </font>
    <font>
      <i/>
      <sz val="10"/>
      <color rgb="FF555555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6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C4"/>
        <bgColor rgb="FFFFFF99"/>
      </patternFill>
    </fill>
    <fill>
      <patternFill patternType="solid">
        <fgColor rgb="FFE8F0FE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0" borderId="0" xfId="0" applyFon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2" fillId="4" borderId="1" xfId="0" applyFont="1" applyFill="1" applyBorder="1"/>
    <xf numFmtId="164" fontId="2" fillId="4" borderId="1" xfId="0" applyNumberFormat="1" applyFont="1" applyFill="1" applyBorder="1"/>
    <xf numFmtId="0" fontId="1" fillId="2" borderId="0" xfId="0" applyFont="1" applyFill="1"/>
    <xf numFmtId="0" fontId="2" fillId="0" borderId="1" xfId="0" applyFont="1" applyBorder="1"/>
    <xf numFmtId="164" fontId="2" fillId="0" borderId="1" xfId="0" applyNumberFormat="1" applyFont="1" applyBorder="1"/>
    <xf numFmtId="0" fontId="9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8F0F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12" customWidth="1"/>
    <col min="2" max="2" width="14" customWidth="1"/>
    <col min="3" max="3" width="20" customWidth="1"/>
    <col min="4" max="4" width="16" customWidth="1"/>
    <col min="5" max="6" width="20" customWidth="1"/>
    <col min="7" max="7" width="45" customWidth="1"/>
    <col min="8" max="8" width="14" customWidth="1"/>
  </cols>
  <sheetData>
    <row r="1" spans="1:8" ht="27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s="2" t="s">
        <v>12</v>
      </c>
      <c r="B2" s="2" t="s">
        <v>13</v>
      </c>
      <c r="C2" s="2" t="s">
        <v>14</v>
      </c>
      <c r="D2" s="2" t="s">
        <v>9</v>
      </c>
      <c r="E2" s="2" t="s">
        <v>15</v>
      </c>
      <c r="F2" s="2" t="s">
        <v>16</v>
      </c>
      <c r="G2" s="2" t="s">
        <v>17</v>
      </c>
      <c r="H2" s="2" t="s">
        <v>11</v>
      </c>
    </row>
    <row r="3" spans="1:8" x14ac:dyDescent="0.2">
      <c r="A3" s="2" t="s">
        <v>18</v>
      </c>
      <c r="B3" s="2" t="s">
        <v>19</v>
      </c>
      <c r="C3" s="2" t="s">
        <v>20</v>
      </c>
      <c r="D3" s="2" t="s">
        <v>9</v>
      </c>
      <c r="E3" s="2" t="s">
        <v>15</v>
      </c>
      <c r="F3" s="2" t="s">
        <v>21</v>
      </c>
      <c r="G3" s="2" t="s">
        <v>22</v>
      </c>
      <c r="H3" s="2" t="s">
        <v>11</v>
      </c>
    </row>
    <row r="4" spans="1:8" x14ac:dyDescent="0.2">
      <c r="A4" s="2" t="s">
        <v>23</v>
      </c>
      <c r="B4" s="2" t="s">
        <v>24</v>
      </c>
      <c r="C4" s="2" t="s">
        <v>25</v>
      </c>
      <c r="D4" s="2" t="s">
        <v>9</v>
      </c>
      <c r="E4" s="2" t="s">
        <v>10</v>
      </c>
      <c r="F4" s="2"/>
      <c r="G4" s="2" t="s">
        <v>26</v>
      </c>
      <c r="H4" s="2" t="s">
        <v>11</v>
      </c>
    </row>
    <row r="5" spans="1:8" x14ac:dyDescent="0.2">
      <c r="A5" s="3"/>
      <c r="B5" s="3"/>
      <c r="C5" s="3"/>
      <c r="D5" s="3"/>
      <c r="E5" s="3"/>
      <c r="F5" s="3"/>
      <c r="G5" s="3"/>
      <c r="H5" s="3"/>
    </row>
    <row r="6" spans="1:8" x14ac:dyDescent="0.2">
      <c r="A6" s="3"/>
      <c r="B6" s="3"/>
      <c r="C6" s="3"/>
      <c r="D6" s="3"/>
      <c r="E6" s="3"/>
      <c r="F6" s="3"/>
      <c r="G6" s="3"/>
      <c r="H6" s="3"/>
    </row>
    <row r="7" spans="1:8" x14ac:dyDescent="0.2">
      <c r="A7" s="3"/>
      <c r="B7" s="3"/>
      <c r="C7" s="3"/>
      <c r="D7" s="3"/>
      <c r="E7" s="3"/>
      <c r="F7" s="3"/>
      <c r="G7" s="3"/>
      <c r="H7" s="3"/>
    </row>
    <row r="8" spans="1:8" x14ac:dyDescent="0.2">
      <c r="A8" s="3"/>
      <c r="B8" s="3"/>
      <c r="C8" s="3"/>
      <c r="D8" s="3"/>
      <c r="E8" s="3"/>
      <c r="F8" s="3"/>
      <c r="G8" s="3"/>
      <c r="H8" s="3"/>
    </row>
    <row r="9" spans="1:8" x14ac:dyDescent="0.2">
      <c r="A9" s="3"/>
      <c r="B9" s="3"/>
      <c r="C9" s="3"/>
      <c r="D9" s="3"/>
      <c r="E9" s="3"/>
      <c r="F9" s="3"/>
      <c r="G9" s="3"/>
      <c r="H9" s="3"/>
    </row>
    <row r="10" spans="1:8" x14ac:dyDescent="0.2">
      <c r="A10" s="3"/>
      <c r="B10" s="3"/>
      <c r="C10" s="3"/>
      <c r="D10" s="3"/>
      <c r="E10" s="3"/>
      <c r="F10" s="3"/>
      <c r="G10" s="3"/>
      <c r="H10" s="3"/>
    </row>
    <row r="11" spans="1:8" x14ac:dyDescent="0.2">
      <c r="A11" s="3"/>
      <c r="B11" s="3"/>
      <c r="C11" s="3"/>
      <c r="D11" s="3"/>
      <c r="E11" s="3"/>
      <c r="F11" s="3"/>
      <c r="G11" s="3"/>
      <c r="H11" s="3"/>
    </row>
    <row r="12" spans="1:8" x14ac:dyDescent="0.2">
      <c r="A12" s="3"/>
      <c r="B12" s="3"/>
      <c r="C12" s="3"/>
      <c r="D12" s="3"/>
      <c r="E12" s="3"/>
      <c r="F12" s="3"/>
      <c r="G12" s="3"/>
      <c r="H12" s="3"/>
    </row>
    <row r="13" spans="1:8" x14ac:dyDescent="0.2">
      <c r="A13" s="3"/>
      <c r="B13" s="3"/>
      <c r="C13" s="3"/>
      <c r="D13" s="3"/>
      <c r="E13" s="3"/>
      <c r="F13" s="3"/>
      <c r="G13" s="3"/>
      <c r="H13" s="3"/>
    </row>
    <row r="14" spans="1:8" x14ac:dyDescent="0.2">
      <c r="A14" s="3"/>
      <c r="B14" s="3"/>
      <c r="C14" s="3"/>
      <c r="D14" s="3"/>
      <c r="E14" s="3"/>
      <c r="F14" s="3"/>
      <c r="G14" s="3"/>
      <c r="H14" s="3"/>
    </row>
    <row r="15" spans="1:8" x14ac:dyDescent="0.2">
      <c r="A15" s="3"/>
      <c r="B15" s="3"/>
      <c r="C15" s="3"/>
      <c r="D15" s="3"/>
      <c r="E15" s="3"/>
      <c r="F15" s="3"/>
      <c r="G15" s="3"/>
      <c r="H15" s="3"/>
    </row>
    <row r="16" spans="1:8" x14ac:dyDescent="0.2">
      <c r="A16" s="3"/>
      <c r="B16" s="3"/>
      <c r="C16" s="3"/>
      <c r="D16" s="3"/>
      <c r="E16" s="3"/>
      <c r="F16" s="3"/>
      <c r="G16" s="3"/>
      <c r="H16" s="3"/>
    </row>
    <row r="17" spans="1:8" x14ac:dyDescent="0.2">
      <c r="A17" s="3"/>
      <c r="B17" s="3"/>
      <c r="C17" s="3"/>
      <c r="D17" s="3"/>
      <c r="E17" s="3"/>
      <c r="F17" s="3"/>
      <c r="G17" s="3"/>
      <c r="H17" s="3"/>
    </row>
    <row r="18" spans="1:8" x14ac:dyDescent="0.2">
      <c r="A18" s="3"/>
      <c r="B18" s="3"/>
      <c r="C18" s="3"/>
      <c r="D18" s="3"/>
      <c r="E18" s="3"/>
      <c r="F18" s="3"/>
      <c r="G18" s="3"/>
      <c r="H18" s="3"/>
    </row>
    <row r="19" spans="1:8" x14ac:dyDescent="0.2">
      <c r="A19" s="3"/>
      <c r="B19" s="3"/>
      <c r="C19" s="3"/>
      <c r="D19" s="3"/>
      <c r="E19" s="3"/>
      <c r="F19" s="3"/>
      <c r="G19" s="3"/>
      <c r="H19" s="3"/>
    </row>
    <row r="20" spans="1:8" x14ac:dyDescent="0.2">
      <c r="A20" s="3"/>
      <c r="B20" s="3"/>
      <c r="C20" s="3"/>
      <c r="D20" s="3"/>
      <c r="E20" s="3"/>
      <c r="F20" s="3"/>
      <c r="G20" s="3"/>
      <c r="H20" s="3"/>
    </row>
    <row r="21" spans="1:8" x14ac:dyDescent="0.2">
      <c r="A21" s="3"/>
      <c r="B21" s="3"/>
      <c r="C21" s="3"/>
      <c r="D21" s="3"/>
      <c r="E21" s="3"/>
      <c r="F21" s="3"/>
      <c r="G21" s="3"/>
      <c r="H21" s="3"/>
    </row>
    <row r="22" spans="1:8" x14ac:dyDescent="0.2">
      <c r="A22" s="3"/>
      <c r="B22" s="3"/>
      <c r="C22" s="3"/>
      <c r="D22" s="3"/>
      <c r="E22" s="3"/>
      <c r="F22" s="3"/>
      <c r="G22" s="3"/>
      <c r="H22" s="3"/>
    </row>
    <row r="23" spans="1:8" x14ac:dyDescent="0.2">
      <c r="A23" s="3"/>
      <c r="B23" s="3"/>
      <c r="C23" s="3"/>
      <c r="D23" s="3"/>
      <c r="E23" s="3"/>
      <c r="F23" s="3"/>
      <c r="G23" s="3"/>
      <c r="H23" s="3"/>
    </row>
    <row r="24" spans="1:8" x14ac:dyDescent="0.2">
      <c r="A24" s="3"/>
      <c r="B24" s="3"/>
      <c r="C24" s="3"/>
      <c r="D24" s="3"/>
      <c r="E24" s="3"/>
      <c r="F24" s="3"/>
      <c r="G24" s="3"/>
      <c r="H24" s="3"/>
    </row>
    <row r="27" spans="1:8" x14ac:dyDescent="0.2">
      <c r="A27" s="4" t="s">
        <v>27</v>
      </c>
    </row>
    <row r="28" spans="1:8" x14ac:dyDescent="0.2">
      <c r="A28" s="5" t="s">
        <v>28</v>
      </c>
    </row>
    <row r="29" spans="1:8" x14ac:dyDescent="0.2">
      <c r="A29" s="5" t="s">
        <v>29</v>
      </c>
    </row>
    <row r="30" spans="1:8" x14ac:dyDescent="0.2">
      <c r="A30" s="5" t="s">
        <v>30</v>
      </c>
    </row>
    <row r="31" spans="1:8" x14ac:dyDescent="0.2">
      <c r="A31" s="5" t="s">
        <v>31</v>
      </c>
    </row>
    <row r="32" spans="1:8" x14ac:dyDescent="0.2">
      <c r="A32" s="5" t="s">
        <v>32</v>
      </c>
    </row>
  </sheetData>
  <dataValidations count="3">
    <dataValidation type="list" allowBlank="1" sqref="E2:E999" xr:uid="{00000000-0002-0000-0000-000000000000}">
      <formula1>"Y,N"</formula1>
      <formula2>0</formula2>
    </dataValidation>
    <dataValidation type="list" allowBlank="1" sqref="F2:F999" xr:uid="{00000000-0002-0000-0000-000001000000}">
      <formula1>"Wrong Assumption,Missed Edge Case,Scope Creep,Style Mismatch,Logic Error,Other"</formula1>
      <formula2>0</formula2>
    </dataValidation>
    <dataValidation type="list" allowBlank="1" sqref="C2:C999" xr:uid="{00000000-0002-0000-0000-000002000000}">
      <formula1>"Test Generation,New Feature,Refactor,Bug Fix,Documentation,Config/Boilerplate,Other"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zoomScaleNormal="100" workbookViewId="0">
      <selection sqref="A1:E1"/>
    </sheetView>
  </sheetViews>
  <sheetFormatPr baseColWidth="10" defaultColWidth="8.6640625" defaultRowHeight="15" x14ac:dyDescent="0.2"/>
  <cols>
    <col min="1" max="1" width="28" customWidth="1"/>
    <col min="2" max="4" width="16" customWidth="1"/>
    <col min="5" max="5" width="40" customWidth="1"/>
  </cols>
  <sheetData>
    <row r="1" spans="1:5" ht="18" x14ac:dyDescent="0.2">
      <c r="A1" s="15" t="s">
        <v>33</v>
      </c>
      <c r="B1" s="15"/>
      <c r="C1" s="15"/>
      <c r="D1" s="15"/>
      <c r="E1" s="15"/>
    </row>
    <row r="2" spans="1:5" x14ac:dyDescent="0.2">
      <c r="A2" s="16" t="s">
        <v>34</v>
      </c>
      <c r="B2" s="16"/>
      <c r="C2" s="16"/>
      <c r="D2" s="16"/>
      <c r="E2" s="16"/>
    </row>
    <row r="4" spans="1:5" ht="16" x14ac:dyDescent="0.2">
      <c r="A4" s="6" t="s">
        <v>35</v>
      </c>
    </row>
    <row r="5" spans="1:5" x14ac:dyDescent="0.2">
      <c r="A5" s="7" t="s">
        <v>36</v>
      </c>
      <c r="B5" s="8">
        <f>COUNTIF(Log!B2:B199,"?*")</f>
        <v>3</v>
      </c>
    </row>
    <row r="6" spans="1:5" x14ac:dyDescent="0.2">
      <c r="A6" s="7" t="s">
        <v>37</v>
      </c>
      <c r="B6" s="8">
        <f>COUNTIFS(Log!B2:B199,"?*",Log!E2:E199,"Y")</f>
        <v>2</v>
      </c>
    </row>
    <row r="7" spans="1:5" x14ac:dyDescent="0.2">
      <c r="A7" s="7" t="s">
        <v>38</v>
      </c>
      <c r="B7" s="9">
        <f>IFERROR(B6/B5,"—")</f>
        <v>0.66666666666666663</v>
      </c>
    </row>
    <row r="10" spans="1:5" ht="16" x14ac:dyDescent="0.2">
      <c r="A10" s="6" t="s">
        <v>39</v>
      </c>
    </row>
    <row r="11" spans="1:5" x14ac:dyDescent="0.2">
      <c r="A11" s="10" t="s">
        <v>40</v>
      </c>
      <c r="B11" s="10" t="s">
        <v>41</v>
      </c>
    </row>
    <row r="12" spans="1:5" x14ac:dyDescent="0.2">
      <c r="A12" s="11" t="s">
        <v>16</v>
      </c>
      <c r="B12" s="11">
        <f>COUNTIFS(Log!$F$2:$F$999,A12)</f>
        <v>1</v>
      </c>
    </row>
    <row r="13" spans="1:5" x14ac:dyDescent="0.2">
      <c r="A13" s="11" t="s">
        <v>42</v>
      </c>
      <c r="B13" s="11">
        <f>COUNTIFS(Log!$F$2:$F$999,A13)</f>
        <v>0</v>
      </c>
    </row>
    <row r="14" spans="1:5" x14ac:dyDescent="0.2">
      <c r="A14" s="11" t="s">
        <v>21</v>
      </c>
      <c r="B14" s="11">
        <f>COUNTIFS(Log!$F$2:$F$999,A14)</f>
        <v>1</v>
      </c>
    </row>
    <row r="15" spans="1:5" x14ac:dyDescent="0.2">
      <c r="A15" s="11" t="s">
        <v>43</v>
      </c>
      <c r="B15" s="11">
        <f>COUNTIFS(Log!$F$2:$F$999,A15)</f>
        <v>0</v>
      </c>
    </row>
    <row r="16" spans="1:5" x14ac:dyDescent="0.2">
      <c r="A16" s="11" t="s">
        <v>44</v>
      </c>
      <c r="B16" s="11">
        <f>COUNTIFS(Log!$F$2:$F$999,A16)</f>
        <v>0</v>
      </c>
    </row>
    <row r="17" spans="1:4" x14ac:dyDescent="0.2">
      <c r="A17" s="11" t="s">
        <v>45</v>
      </c>
      <c r="B17" s="11">
        <f>COUNTIFS(Log!$F$2:$F$999,A17)</f>
        <v>0</v>
      </c>
    </row>
    <row r="20" spans="1:4" ht="16" x14ac:dyDescent="0.2">
      <c r="A20" s="6" t="s">
        <v>46</v>
      </c>
    </row>
    <row r="21" spans="1:4" x14ac:dyDescent="0.2">
      <c r="A21" s="10" t="s">
        <v>47</v>
      </c>
      <c r="B21" s="10" t="s">
        <v>48</v>
      </c>
      <c r="C21" s="10" t="s">
        <v>49</v>
      </c>
      <c r="D21" s="10" t="s">
        <v>50</v>
      </c>
    </row>
    <row r="22" spans="1:4" x14ac:dyDescent="0.2">
      <c r="A22" s="11" t="s">
        <v>8</v>
      </c>
      <c r="B22" s="11">
        <f>COUNTIFS(Log!$C$2:$C$999,A22)</f>
        <v>0</v>
      </c>
      <c r="C22" s="11">
        <f>COUNTIFS(Log!$C$2:$C$999,A22,Log!$E$2:$E$999,"Y")</f>
        <v>0</v>
      </c>
      <c r="D22" s="12" t="str">
        <f t="shared" ref="D22:D28" si="0">IFERROR(C22/B22,"—")</f>
        <v>—</v>
      </c>
    </row>
    <row r="23" spans="1:4" x14ac:dyDescent="0.2">
      <c r="A23" s="11" t="s">
        <v>14</v>
      </c>
      <c r="B23" s="11">
        <f>COUNTIFS(Log!$C$2:$C$999,A23)</f>
        <v>1</v>
      </c>
      <c r="C23" s="11">
        <f>COUNTIFS(Log!$C$2:$C$999,A23,Log!$E$2:$E$999,"Y")</f>
        <v>1</v>
      </c>
      <c r="D23" s="12">
        <f t="shared" si="0"/>
        <v>1</v>
      </c>
    </row>
    <row r="24" spans="1:4" x14ac:dyDescent="0.2">
      <c r="A24" s="11" t="s">
        <v>20</v>
      </c>
      <c r="B24" s="11">
        <f>COUNTIFS(Log!$C$2:$C$999,A24)</f>
        <v>1</v>
      </c>
      <c r="C24" s="11">
        <f>COUNTIFS(Log!$C$2:$C$999,A24,Log!$E$2:$E$999,"Y")</f>
        <v>1</v>
      </c>
      <c r="D24" s="12">
        <f t="shared" si="0"/>
        <v>1</v>
      </c>
    </row>
    <row r="25" spans="1:4" x14ac:dyDescent="0.2">
      <c r="A25" s="11" t="s">
        <v>25</v>
      </c>
      <c r="B25" s="11">
        <f>COUNTIFS(Log!$C$2:$C$999,A25)</f>
        <v>1</v>
      </c>
      <c r="C25" s="11">
        <f>COUNTIFS(Log!$C$2:$C$999,A25,Log!$E$2:$E$999,"Y")</f>
        <v>0</v>
      </c>
      <c r="D25" s="12">
        <f t="shared" si="0"/>
        <v>0</v>
      </c>
    </row>
    <row r="26" spans="1:4" x14ac:dyDescent="0.2">
      <c r="A26" s="11" t="s">
        <v>51</v>
      </c>
      <c r="B26" s="11">
        <f>COUNTIFS(Log!$C$2:$C$999,A26)</f>
        <v>0</v>
      </c>
      <c r="C26" s="11">
        <f>COUNTIFS(Log!$C$2:$C$999,A26,Log!$E$2:$E$999,"Y")</f>
        <v>0</v>
      </c>
      <c r="D26" s="12" t="str">
        <f t="shared" si="0"/>
        <v>—</v>
      </c>
    </row>
    <row r="27" spans="1:4" x14ac:dyDescent="0.2">
      <c r="A27" s="11" t="s">
        <v>52</v>
      </c>
      <c r="B27" s="11">
        <f>COUNTIFS(Log!$C$2:$C$999,A27)</f>
        <v>0</v>
      </c>
      <c r="C27" s="11">
        <f>COUNTIFS(Log!$C$2:$C$999,A27,Log!$E$2:$E$999,"Y")</f>
        <v>0</v>
      </c>
      <c r="D27" s="12" t="str">
        <f t="shared" si="0"/>
        <v>—</v>
      </c>
    </row>
    <row r="28" spans="1:4" x14ac:dyDescent="0.2">
      <c r="A28" s="11" t="s">
        <v>45</v>
      </c>
      <c r="B28" s="11">
        <f>COUNTIFS(Log!$C$2:$C$999,A28)</f>
        <v>0</v>
      </c>
      <c r="C28" s="11">
        <f>COUNTIFS(Log!$C$2:$C$999,A28,Log!$E$2:$E$999,"Y")</f>
        <v>0</v>
      </c>
      <c r="D28" s="12" t="str">
        <f t="shared" si="0"/>
        <v>—</v>
      </c>
    </row>
    <row r="31" spans="1:4" x14ac:dyDescent="0.2">
      <c r="A31" s="5" t="s">
        <v>53</v>
      </c>
    </row>
    <row r="32" spans="1:4" x14ac:dyDescent="0.2">
      <c r="A32" s="5" t="s">
        <v>54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30"/>
  <sheetViews>
    <sheetView zoomScaleNormal="100" workbookViewId="0">
      <selection activeCell="A3" sqref="A3"/>
    </sheetView>
  </sheetViews>
  <sheetFormatPr baseColWidth="10" defaultColWidth="8.6640625" defaultRowHeight="15" x14ac:dyDescent="0.2"/>
  <cols>
    <col min="1" max="1" width="100" customWidth="1"/>
  </cols>
  <sheetData>
    <row r="1" spans="1:1" ht="20" x14ac:dyDescent="0.2">
      <c r="A1" s="13" t="s">
        <v>55</v>
      </c>
    </row>
    <row r="2" spans="1:1" x14ac:dyDescent="0.2">
      <c r="A2" s="14"/>
    </row>
    <row r="3" spans="1:1" x14ac:dyDescent="0.2">
      <c r="A3" s="4" t="s">
        <v>56</v>
      </c>
    </row>
    <row r="4" spans="1:1" x14ac:dyDescent="0.2">
      <c r="A4" s="14" t="s">
        <v>57</v>
      </c>
    </row>
    <row r="5" spans="1:1" x14ac:dyDescent="0.2">
      <c r="A5" s="14" t="s">
        <v>58</v>
      </c>
    </row>
    <row r="6" spans="1:1" x14ac:dyDescent="0.2">
      <c r="A6" s="14" t="s">
        <v>59</v>
      </c>
    </row>
    <row r="7" spans="1:1" x14ac:dyDescent="0.2">
      <c r="A7" s="14"/>
    </row>
    <row r="8" spans="1:1" x14ac:dyDescent="0.2">
      <c r="A8" s="4" t="s">
        <v>60</v>
      </c>
    </row>
    <row r="9" spans="1:1" x14ac:dyDescent="0.2">
      <c r="A9" s="14" t="s">
        <v>61</v>
      </c>
    </row>
    <row r="10" spans="1:1" x14ac:dyDescent="0.2">
      <c r="A10" s="14" t="s">
        <v>62</v>
      </c>
    </row>
    <row r="11" spans="1:1" x14ac:dyDescent="0.2">
      <c r="A11" s="14" t="s">
        <v>63</v>
      </c>
    </row>
    <row r="12" spans="1:1" x14ac:dyDescent="0.2">
      <c r="A12" s="14" t="s">
        <v>64</v>
      </c>
    </row>
    <row r="13" spans="1:1" x14ac:dyDescent="0.2">
      <c r="A13" s="14"/>
    </row>
    <row r="14" spans="1:1" x14ac:dyDescent="0.2">
      <c r="A14" s="4" t="s">
        <v>65</v>
      </c>
    </row>
    <row r="15" spans="1:1" x14ac:dyDescent="0.2">
      <c r="A15" s="14" t="s">
        <v>66</v>
      </c>
    </row>
    <row r="16" spans="1:1" x14ac:dyDescent="0.2">
      <c r="A16" s="14" t="s">
        <v>67</v>
      </c>
    </row>
    <row r="17" spans="1:1" x14ac:dyDescent="0.2">
      <c r="A17" s="14" t="s">
        <v>68</v>
      </c>
    </row>
    <row r="18" spans="1:1" x14ac:dyDescent="0.2">
      <c r="A18" s="14" t="s">
        <v>69</v>
      </c>
    </row>
    <row r="19" spans="1:1" x14ac:dyDescent="0.2">
      <c r="A19" s="14" t="s">
        <v>70</v>
      </c>
    </row>
    <row r="20" spans="1:1" x14ac:dyDescent="0.2">
      <c r="A20" s="14"/>
    </row>
    <row r="21" spans="1:1" x14ac:dyDescent="0.2">
      <c r="A21" s="4" t="s">
        <v>71</v>
      </c>
    </row>
    <row r="22" spans="1:1" x14ac:dyDescent="0.2">
      <c r="A22" s="14" t="s">
        <v>72</v>
      </c>
    </row>
    <row r="23" spans="1:1" x14ac:dyDescent="0.2">
      <c r="A23" s="14" t="s">
        <v>73</v>
      </c>
    </row>
    <row r="24" spans="1:1" x14ac:dyDescent="0.2">
      <c r="A24" s="14" t="s">
        <v>74</v>
      </c>
    </row>
    <row r="25" spans="1:1" x14ac:dyDescent="0.2">
      <c r="A25" s="14"/>
    </row>
    <row r="26" spans="1:1" x14ac:dyDescent="0.2">
      <c r="A26" s="4" t="s">
        <v>75</v>
      </c>
    </row>
    <row r="27" spans="1:1" x14ac:dyDescent="0.2">
      <c r="A27" s="14" t="s">
        <v>76</v>
      </c>
    </row>
    <row r="28" spans="1:1" x14ac:dyDescent="0.2">
      <c r="A28" s="14" t="s">
        <v>77</v>
      </c>
    </row>
    <row r="29" spans="1:1" x14ac:dyDescent="0.2">
      <c r="A29" s="14" t="s">
        <v>78</v>
      </c>
    </row>
    <row r="30" spans="1:1" x14ac:dyDescent="0.2">
      <c r="A30" s="14" t="s">
        <v>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Dashboard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Prasad M.K.</cp:lastModifiedBy>
  <cp:revision>0</cp:revision>
  <dcterms:created xsi:type="dcterms:W3CDTF">2026-08-04T19:20:10Z</dcterms:created>
  <dcterms:modified xsi:type="dcterms:W3CDTF">2026-08-04T20:05:33Z</dcterms:modified>
  <dc:language>en-US</dc:language>
</cp:coreProperties>
</file>