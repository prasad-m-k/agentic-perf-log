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deepamk/Downloads/"/>
    </mc:Choice>
  </mc:AlternateContent>
  <xr:revisionPtr revIDLastSave="0" documentId="13_ncr:1_{206C8DBD-094B-0F49-A82B-5E1794CA11EB}" xr6:coauthVersionLast="47" xr6:coauthVersionMax="47" xr10:uidLastSave="{00000000-0000-0000-0000-000000000000}"/>
  <bookViews>
    <workbookView xWindow="0" yWindow="600" windowWidth="38400" windowHeight="19500" tabRatio="500" xr2:uid="{00000000-000D-0000-FFFF-FFFF00000000}"/>
  </bookViews>
  <sheets>
    <sheet name="Log" sheetId="1" r:id="rId1"/>
    <sheet name="Dashboard" sheetId="2" r:id="rId2"/>
    <sheet name="README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52" i="2" l="1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C28" i="2"/>
  <c r="D28" i="2" s="1"/>
  <c r="B28" i="2"/>
  <c r="D27" i="2"/>
  <c r="C27" i="2"/>
  <c r="B27" i="2"/>
  <c r="C26" i="2"/>
  <c r="D26" i="2" s="1"/>
  <c r="B26" i="2"/>
  <c r="C25" i="2"/>
  <c r="B25" i="2"/>
  <c r="D25" i="2" s="1"/>
  <c r="C24" i="2"/>
  <c r="D24" i="2" s="1"/>
  <c r="B24" i="2"/>
  <c r="C23" i="2"/>
  <c r="D23" i="2" s="1"/>
  <c r="B23" i="2"/>
  <c r="C22" i="2"/>
  <c r="D22" i="2" s="1"/>
  <c r="B22" i="2"/>
  <c r="B17" i="2"/>
  <c r="B16" i="2"/>
  <c r="B15" i="2"/>
  <c r="B14" i="2"/>
  <c r="B13" i="2"/>
  <c r="B12" i="2"/>
  <c r="A58" i="2" s="1"/>
  <c r="B7" i="2"/>
  <c r="B6" i="2"/>
  <c r="B5" i="2"/>
</calcChain>
</file>

<file path=xl/sharedStrings.xml><?xml version="1.0" encoding="utf-8"?>
<sst xmlns="http://schemas.openxmlformats.org/spreadsheetml/2006/main" count="104" uniqueCount="89">
  <si>
    <t>Date</t>
  </si>
  <si>
    <t>Task ID</t>
  </si>
  <si>
    <t>Task Category</t>
  </si>
  <si>
    <t>Agent/Model</t>
  </si>
  <si>
    <t>Correction Needed (Y/N)</t>
  </si>
  <si>
    <t>Correction Type</t>
  </si>
  <si>
    <t>Notes</t>
  </si>
  <si>
    <t>Logged By</t>
  </si>
  <si>
    <t>2026-08-01</t>
  </si>
  <si>
    <t>TASK-001</t>
  </si>
  <si>
    <t>Test Generation</t>
  </si>
  <si>
    <t>Claude Code</t>
  </si>
  <si>
    <t>N</t>
  </si>
  <si>
    <t>agent</t>
  </si>
  <si>
    <t>2026-08-02</t>
  </si>
  <si>
    <t>TASK-002</t>
  </si>
  <si>
    <t>New Feature</t>
  </si>
  <si>
    <t>Y</t>
  </si>
  <si>
    <t>Wrong Assumption</t>
  </si>
  <si>
    <t>Assumed webhook handler was in scope, was not</t>
  </si>
  <si>
    <t>2026-08-03</t>
  </si>
  <si>
    <t>TASK-003</t>
  </si>
  <si>
    <t>Refactor</t>
  </si>
  <si>
    <t>Scope Creep</t>
  </si>
  <si>
    <t>Touched two extra files not mentioned in the task spec</t>
  </si>
  <si>
    <t>2026-08-04</t>
  </si>
  <si>
    <t>TASK-004</t>
  </si>
  <si>
    <t>Bug Fix</t>
  </si>
  <si>
    <t>Fix matched the reported issue, tests passed</t>
  </si>
  <si>
    <t>How to use this sheet</t>
  </si>
  <si>
    <t>- Add one row per reviewed task, right after you accept or reject the agent's output.</t>
  </si>
  <si>
    <t>- Yellow rows above are examples only. Delete them once you have real data.</t>
  </si>
  <si>
    <t>- Correction Type is only filled in when Correction Needed = Y.</t>
  </si>
  <si>
    <t>- Logged By: 'agent' if the agent appended the row itself, or your name/handle if logged manually.</t>
  </si>
  <si>
    <t>- See the Dashboard tab for the automatic summary. It updates as you add rows.</t>
  </si>
  <si>
    <t>Agent Correction Tracker — Dashboard</t>
  </si>
  <si>
    <t>All numbers below are formulas. Add rows to the Log tab and this updates automatically.</t>
  </si>
  <si>
    <t>Overview</t>
  </si>
  <si>
    <t>Correction Category Breakdown</t>
  </si>
  <si>
    <t>Total tasks logged</t>
  </si>
  <si>
    <t>Corrections needed</t>
  </si>
  <si>
    <t>Correction rate</t>
  </si>
  <si>
    <t>Corrections by Type</t>
  </si>
  <si>
    <t>Type</t>
  </si>
  <si>
    <t>Count</t>
  </si>
  <si>
    <t>Missed Edge Case</t>
  </si>
  <si>
    <t>Style Mismatch</t>
  </si>
  <si>
    <t>Logic Error</t>
  </si>
  <si>
    <t>Other</t>
  </si>
  <si>
    <t>By Task Category</t>
  </si>
  <si>
    <t>Category</t>
  </si>
  <si>
    <t>Total</t>
  </si>
  <si>
    <t>Corrected</t>
  </si>
  <si>
    <t>Rate</t>
  </si>
  <si>
    <t>Correction Rate Trend (cumulative)</t>
  </si>
  <si>
    <t>Documentation</t>
  </si>
  <si>
    <t>Config/Boilerplate</t>
  </si>
  <si>
    <t>Read this like a manager reads a report, not like an infra dashboard.</t>
  </si>
  <si>
    <t>A high correction rate on one category means tighten your task specs there, not that the agent is bad.</t>
  </si>
  <si>
    <t>Chart data (auto, do not edit)</t>
  </si>
  <si>
    <t>Task #</t>
  </si>
  <si>
    <t>Cumulative Correction Rate</t>
  </si>
  <si>
    <t>Corrections by Task Category</t>
  </si>
  <si>
    <t>Agent Correction Tracker</t>
  </si>
  <si>
    <t>What this is</t>
  </si>
  <si>
    <t>A lightweight way to track whether an AI coding agent's output needed correcting, and what</t>
  </si>
  <si>
    <t>kind of correction it needed. Not tokens, not latency, not CPU. This tracks judgment quality:</t>
  </si>
  <si>
    <t>did the agent make a good call on the task it was given.</t>
  </si>
  <si>
    <t>How to use it</t>
  </si>
  <si>
    <t>1. Every time you review agent output before merging or shipping, add one row to the Log tab.</t>
  </si>
  <si>
    <t>2. Mark whether a correction was needed. If yes, pick the correction type from the dropdown.</t>
  </si>
  <si>
    <t>3. The Dashboard tab updates automatically. No manual math.</t>
  </si>
  <si>
    <t>4. Delete the four yellow example rows on the Log tab once you have real entries.</t>
  </si>
  <si>
    <t>Correction types</t>
  </si>
  <si>
    <t>Wrong Assumption   - the agent guessed at something ambiguous and guessed wrong.</t>
  </si>
  <si>
    <t>Missed Edge Case   - the happy path worked, an edge case did not.</t>
  </si>
  <si>
    <t>Scope Creep        - the agent touched more than the task asked for.</t>
  </si>
  <si>
    <t>Style Mismatch     - functionally fine, did not match team conventions.</t>
  </si>
  <si>
    <t>Logic Error        - the core logic was wrong, not an edge case, the main path.</t>
  </si>
  <si>
    <t>Letting the agent log itself</t>
  </si>
  <si>
    <t>See update_log.py and CLAUDE.md in this repo for a script that lets an agent append its own</t>
  </si>
  <si>
    <t>row after finishing a task, instead of you doing it by hand. You still review before shipping,</t>
  </si>
  <si>
    <t>the agent just fills in the paperwork.</t>
  </si>
  <si>
    <t>Why this instead of token/CPU metrics</t>
  </si>
  <si>
    <t>Cost and speed metrics tell you what a task cost to run. They say nothing about whether the</t>
  </si>
  <si>
    <t>output was good. Correction rate and correction type are a closer proxy for the thing a</t>
  </si>
  <si>
    <t>business owner actually cares about: is this agent's judgment getting better over time, and</t>
  </si>
  <si>
    <t>on what kind of work.</t>
  </si>
  <si>
    <t>Generated integrations test cases for the service, no changes needed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</si>
</sst>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i/>
      <sz val="9"/>
      <color rgb="FF555555"/>
      <name val="Arial"/>
      <family val="2"/>
    </font>
    <font>
      <b/>
      <sz val="14"/>
      <name val="Arial"/>
      <family val="2"/>
    </font>
    <font>
      <i/>
      <sz val="10"/>
      <color rgb="FF555555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0"/>
      <color rgb="FF999999"/>
      <name val="Arial"/>
      <family val="2"/>
    </font>
    <font>
      <i/>
      <sz val="10"/>
      <color rgb="FF1F2937"/>
      <name val="Arial"/>
      <family val="2"/>
    </font>
    <font>
      <b/>
      <sz val="16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9C4"/>
        <bgColor rgb="FFFFFF99"/>
      </patternFill>
    </fill>
    <fill>
      <patternFill patternType="solid">
        <fgColor rgb="FFE8F0FE"/>
        <bgColor rgb="FFF3F4F6"/>
      </patternFill>
    </fill>
    <fill>
      <patternFill patternType="solid">
        <fgColor rgb="FFF3F4F6"/>
        <bgColor rgb="FFE8F0FE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1" fillId="5" borderId="0" xfId="0" applyFont="1" applyFill="1" applyAlignment="1">
      <alignment vertical="top" wrapText="1"/>
    </xf>
    <xf numFmtId="0" fontId="7" fillId="0" borderId="0" xfId="0" applyFont="1"/>
    <xf numFmtId="0" fontId="6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0" borderId="0" xfId="0" applyFont="1"/>
    <xf numFmtId="0" fontId="5" fillId="0" borderId="0" xfId="0" applyFont="1"/>
    <xf numFmtId="0" fontId="8" fillId="0" borderId="0" xfId="0" applyFont="1"/>
    <xf numFmtId="0" fontId="9" fillId="0" borderId="0" xfId="0" applyFont="1"/>
    <xf numFmtId="0" fontId="3" fillId="4" borderId="1" xfId="0" applyFont="1" applyFill="1" applyBorder="1"/>
    <xf numFmtId="164" fontId="3" fillId="4" borderId="1" xfId="0" applyNumberFormat="1" applyFont="1" applyFill="1" applyBorder="1"/>
    <xf numFmtId="0" fontId="2" fillId="2" borderId="0" xfId="0" applyFont="1" applyFill="1"/>
    <xf numFmtId="0" fontId="3" fillId="0" borderId="1" xfId="0" applyFont="1" applyBorder="1"/>
    <xf numFmtId="164" fontId="3" fillId="0" borderId="1" xfId="0" applyNumberFormat="1" applyFont="1" applyBorder="1"/>
    <xf numFmtId="0" fontId="10" fillId="0" borderId="0" xfId="0" applyFont="1"/>
    <xf numFmtId="0" fontId="3" fillId="0" borderId="0" xfId="0" applyFont="1"/>
    <xf numFmtId="9" fontId="3" fillId="0" borderId="0" xfId="0" applyNumberFormat="1" applyFont="1"/>
    <xf numFmtId="0" fontId="12" fillId="0" borderId="0" xfId="0" applyFont="1"/>
    <xf numFmtId="0" fontId="1" fillId="3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C0504D"/>
      <rgbColor rgb="FFFFF9C4"/>
      <rgbColor rgb="FFE8F0F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CCFFCC"/>
      <rgbColor rgb="FFFFFF99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F79646"/>
      <rgbColor rgb="FFFF6600"/>
      <rgbColor rgb="FF8064A2"/>
      <rgbColor rgb="FF999999"/>
      <rgbColor rgb="FF003366"/>
      <rgbColor rgb="FF4F81BD"/>
      <rgbColor rgb="FF003300"/>
      <rgbColor rgb="FF333300"/>
      <rgbColor rgb="FF993300"/>
      <rgbColor rgb="FF993366"/>
      <rgbColor rgb="FF555555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1885-2D4F-94D8-BC6C29D6FB6C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1885-2D4F-94D8-BC6C29D6FB6C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1885-2D4F-94D8-BC6C29D6FB6C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1885-2D4F-94D8-BC6C29D6FB6C}"/>
              </c:ext>
            </c:extLst>
          </c:dPt>
          <c:dPt>
            <c:idx val="4"/>
            <c:bubble3D val="0"/>
            <c:spPr>
              <a:solidFill>
                <a:srgbClr val="4BACC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1885-2D4F-94D8-BC6C29D6FB6C}"/>
              </c:ext>
            </c:extLst>
          </c:dPt>
          <c:dPt>
            <c:idx val="5"/>
            <c:bubble3D val="0"/>
            <c:spPr>
              <a:solidFill>
                <a:srgbClr val="F7964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1885-2D4F-94D8-BC6C29D6FB6C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1885-2D4F-94D8-BC6C29D6FB6C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1885-2D4F-94D8-BC6C29D6FB6C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1885-2D4F-94D8-BC6C29D6FB6C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7-1885-2D4F-94D8-BC6C29D6FB6C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9-1885-2D4F-94D8-BC6C29D6FB6C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B-1885-2D4F-94D8-BC6C29D6FB6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1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Dashboard!$A$12:$A$17</c:f>
              <c:strCache>
                <c:ptCount val="6"/>
                <c:pt idx="0">
                  <c:v>Wrong Assumption</c:v>
                </c:pt>
                <c:pt idx="1">
                  <c:v>Missed Edge Case</c:v>
                </c:pt>
                <c:pt idx="2">
                  <c:v>Scope Creep</c:v>
                </c:pt>
                <c:pt idx="3">
                  <c:v>Style Mismatch</c:v>
                </c:pt>
                <c:pt idx="4">
                  <c:v>Logic Error</c:v>
                </c:pt>
                <c:pt idx="5">
                  <c:v>Other</c:v>
                </c:pt>
              </c:strCache>
            </c:strRef>
          </c:cat>
          <c:val>
            <c:numRef>
              <c:f>Dashboard!$B$12:$B$17</c:f>
              <c:numCache>
                <c:formatCode>General</c:formatCode>
                <c:ptCount val="6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885-2D4F-94D8-BC6C29D6F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Dashboard!$B$37</c:f>
              <c:strCache>
                <c:ptCount val="1"/>
                <c:pt idx="0">
                  <c:v>Cumulative Correction Rate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Dashboard!$A$38:$A$52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cat>
          <c:val>
            <c:numRef>
              <c:f>Dashboard!$B$38:$B$52</c:f>
              <c:numCache>
                <c:formatCode>0%</c:formatCode>
                <c:ptCount val="15"/>
                <c:pt idx="0">
                  <c:v>0</c:v>
                </c:pt>
                <c:pt idx="1">
                  <c:v>0.5</c:v>
                </c:pt>
                <c:pt idx="2">
                  <c:v>0.66666666666666663</c:v>
                </c:pt>
                <c:pt idx="3">
                  <c:v>0.5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7C7-2644-9088-F753C6675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3928920"/>
        <c:axId val="9064647"/>
      </c:lineChart>
      <c:catAx>
        <c:axId val="9392892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Task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064647"/>
        <c:crosses val="autoZero"/>
        <c:auto val="1"/>
        <c:lblAlgn val="ctr"/>
        <c:lblOffset val="100"/>
        <c:noMultiLvlLbl val="0"/>
      </c:catAx>
      <c:valAx>
        <c:axId val="90646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Correction 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392892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Dashboard!$A$22:$A$28</c:f>
              <c:strCache>
                <c:ptCount val="7"/>
                <c:pt idx="0">
                  <c:v>Test Generation</c:v>
                </c:pt>
                <c:pt idx="1">
                  <c:v>New Feature</c:v>
                </c:pt>
                <c:pt idx="2">
                  <c:v>Refactor</c:v>
                </c:pt>
                <c:pt idx="3">
                  <c:v>Bug Fix</c:v>
                </c:pt>
                <c:pt idx="4">
                  <c:v>Documentation</c:v>
                </c:pt>
                <c:pt idx="5">
                  <c:v>Config/Boilerplate</c:v>
                </c:pt>
                <c:pt idx="6">
                  <c:v>Other</c:v>
                </c:pt>
              </c:strCache>
            </c:strRef>
          </c:cat>
          <c:val>
            <c:numRef>
              <c:f>Dashboard!$B$22:$B$28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A4-B14D-B5E5-40E186995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523475"/>
        <c:axId val="12731634"/>
      </c:barChart>
      <c:catAx>
        <c:axId val="115234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2731634"/>
        <c:crosses val="autoZero"/>
        <c:auto val="1"/>
        <c:lblAlgn val="ctr"/>
        <c:lblOffset val="100"/>
        <c:noMultiLvlLbl val="0"/>
      </c:catAx>
      <c:valAx>
        <c:axId val="127316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Tasks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52347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3</xdr:row>
      <xdr:rowOff>160920</xdr:rowOff>
    </xdr:from>
    <xdr:to>
      <xdr:col>13</xdr:col>
      <xdr:colOff>38880</xdr:colOff>
      <xdr:row>18</xdr:row>
      <xdr:rowOff>182880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21</xdr:row>
      <xdr:rowOff>160920</xdr:rowOff>
    </xdr:from>
    <xdr:to>
      <xdr:col>13</xdr:col>
      <xdr:colOff>38880</xdr:colOff>
      <xdr:row>36</xdr:row>
      <xdr:rowOff>182880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39</xdr:row>
      <xdr:rowOff>160920</xdr:rowOff>
    </xdr:from>
    <xdr:to>
      <xdr:col>13</xdr:col>
      <xdr:colOff>38880</xdr:colOff>
      <xdr:row>54</xdr:row>
      <xdr:rowOff>182880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tabSelected="1"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12" customWidth="1"/>
    <col min="2" max="2" width="14" customWidth="1"/>
    <col min="3" max="3" width="20" customWidth="1"/>
    <col min="4" max="4" width="16" customWidth="1"/>
    <col min="5" max="6" width="20" customWidth="1"/>
    <col min="7" max="7" width="45" customWidth="1"/>
    <col min="8" max="8" width="14" customWidth="1"/>
  </cols>
  <sheetData>
    <row r="1" spans="1:8" ht="27.75" customHeight="1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spans="1:8" ht="28" x14ac:dyDescent="0.2">
      <c r="A2" s="5" t="s">
        <v>8</v>
      </c>
      <c r="B2" s="5" t="s">
        <v>9</v>
      </c>
      <c r="C2" s="5" t="s">
        <v>10</v>
      </c>
      <c r="D2" s="5" t="s">
        <v>11</v>
      </c>
      <c r="E2" s="5" t="s">
        <v>12</v>
      </c>
      <c r="F2" s="5"/>
      <c r="G2" s="20" t="s">
        <v>88</v>
      </c>
      <c r="H2" s="5" t="s">
        <v>13</v>
      </c>
    </row>
    <row r="3" spans="1:8" x14ac:dyDescent="0.2">
      <c r="A3" s="5" t="s">
        <v>14</v>
      </c>
      <c r="B3" s="5" t="s">
        <v>15</v>
      </c>
      <c r="C3" s="5" t="s">
        <v>16</v>
      </c>
      <c r="D3" s="5" t="s">
        <v>11</v>
      </c>
      <c r="E3" s="5" t="s">
        <v>17</v>
      </c>
      <c r="F3" s="5" t="s">
        <v>18</v>
      </c>
      <c r="G3" s="5" t="s">
        <v>19</v>
      </c>
      <c r="H3" s="5" t="s">
        <v>13</v>
      </c>
    </row>
    <row r="4" spans="1:8" x14ac:dyDescent="0.2">
      <c r="A4" s="5" t="s">
        <v>20</v>
      </c>
      <c r="B4" s="5" t="s">
        <v>21</v>
      </c>
      <c r="C4" s="5" t="s">
        <v>22</v>
      </c>
      <c r="D4" s="5" t="s">
        <v>11</v>
      </c>
      <c r="E4" s="5" t="s">
        <v>17</v>
      </c>
      <c r="F4" s="5" t="s">
        <v>23</v>
      </c>
      <c r="G4" s="5" t="s">
        <v>24</v>
      </c>
      <c r="H4" s="5" t="s">
        <v>13</v>
      </c>
    </row>
    <row r="5" spans="1:8" x14ac:dyDescent="0.2">
      <c r="A5" s="5" t="s">
        <v>25</v>
      </c>
      <c r="B5" s="5" t="s">
        <v>26</v>
      </c>
      <c r="C5" s="5" t="s">
        <v>27</v>
      </c>
      <c r="D5" s="5" t="s">
        <v>11</v>
      </c>
      <c r="E5" s="5" t="s">
        <v>12</v>
      </c>
      <c r="F5" s="5"/>
      <c r="G5" s="5" t="s">
        <v>28</v>
      </c>
      <c r="H5" s="5" t="s">
        <v>13</v>
      </c>
    </row>
    <row r="6" spans="1:8" x14ac:dyDescent="0.2">
      <c r="A6" s="6"/>
      <c r="B6" s="6"/>
      <c r="C6" s="6"/>
      <c r="D6" s="6"/>
      <c r="E6" s="6"/>
      <c r="F6" s="6"/>
      <c r="G6" s="6"/>
      <c r="H6" s="6"/>
    </row>
    <row r="7" spans="1:8" x14ac:dyDescent="0.2">
      <c r="A7" s="6"/>
      <c r="B7" s="6"/>
      <c r="C7" s="6"/>
      <c r="D7" s="6"/>
      <c r="E7" s="6"/>
      <c r="F7" s="6"/>
      <c r="G7" s="6"/>
      <c r="H7" s="6"/>
    </row>
    <row r="8" spans="1:8" x14ac:dyDescent="0.2">
      <c r="A8" s="6"/>
      <c r="B8" s="6"/>
      <c r="C8" s="6"/>
      <c r="D8" s="6"/>
      <c r="E8" s="6"/>
      <c r="F8" s="6"/>
      <c r="G8" s="6"/>
      <c r="H8" s="6"/>
    </row>
    <row r="9" spans="1:8" x14ac:dyDescent="0.2">
      <c r="A9" s="6"/>
      <c r="B9" s="6"/>
      <c r="C9" s="6"/>
      <c r="D9" s="6"/>
      <c r="E9" s="6"/>
      <c r="F9" s="6"/>
      <c r="G9" s="6"/>
      <c r="H9" s="6"/>
    </row>
    <row r="10" spans="1:8" x14ac:dyDescent="0.2">
      <c r="A10" s="6"/>
      <c r="B10" s="6"/>
      <c r="C10" s="6"/>
      <c r="D10" s="6"/>
      <c r="E10" s="6"/>
      <c r="F10" s="6"/>
      <c r="G10" s="6"/>
      <c r="H10" s="6"/>
    </row>
    <row r="11" spans="1:8" x14ac:dyDescent="0.2">
      <c r="A11" s="6"/>
      <c r="B11" s="6"/>
      <c r="C11" s="6"/>
      <c r="D11" s="6"/>
      <c r="E11" s="6"/>
      <c r="F11" s="6"/>
      <c r="G11" s="6"/>
      <c r="H11" s="6"/>
    </row>
    <row r="12" spans="1:8" x14ac:dyDescent="0.2">
      <c r="A12" s="6"/>
      <c r="B12" s="6"/>
      <c r="C12" s="6"/>
      <c r="D12" s="6"/>
      <c r="E12" s="6"/>
      <c r="F12" s="6"/>
      <c r="G12" s="6"/>
      <c r="H12" s="6"/>
    </row>
    <row r="13" spans="1:8" x14ac:dyDescent="0.2">
      <c r="A13" s="6"/>
      <c r="B13" s="6"/>
      <c r="C13" s="6"/>
      <c r="D13" s="6"/>
      <c r="E13" s="6"/>
      <c r="F13" s="6"/>
      <c r="G13" s="6"/>
      <c r="H13" s="6"/>
    </row>
    <row r="14" spans="1:8" x14ac:dyDescent="0.2">
      <c r="A14" s="6"/>
      <c r="B14" s="6"/>
      <c r="C14" s="6"/>
      <c r="D14" s="6"/>
      <c r="E14" s="6"/>
      <c r="F14" s="6"/>
      <c r="G14" s="6"/>
      <c r="H14" s="6"/>
    </row>
    <row r="15" spans="1:8" x14ac:dyDescent="0.2">
      <c r="A15" s="6"/>
      <c r="B15" s="6"/>
      <c r="C15" s="6"/>
      <c r="D15" s="6"/>
      <c r="E15" s="6"/>
      <c r="F15" s="6"/>
      <c r="G15" s="6"/>
      <c r="H15" s="6"/>
    </row>
    <row r="16" spans="1:8" x14ac:dyDescent="0.2">
      <c r="A16" s="6"/>
      <c r="B16" s="6"/>
      <c r="C16" s="6"/>
      <c r="D16" s="6"/>
      <c r="E16" s="6"/>
      <c r="F16" s="6"/>
      <c r="G16" s="6"/>
      <c r="H16" s="6"/>
    </row>
    <row r="17" spans="1:8" x14ac:dyDescent="0.2">
      <c r="A17" s="6"/>
      <c r="B17" s="6"/>
      <c r="C17" s="6"/>
      <c r="D17" s="6"/>
      <c r="E17" s="6"/>
      <c r="F17" s="6"/>
      <c r="G17" s="6"/>
      <c r="H17" s="6"/>
    </row>
    <row r="18" spans="1:8" x14ac:dyDescent="0.2">
      <c r="A18" s="6"/>
      <c r="B18" s="6"/>
      <c r="C18" s="6"/>
      <c r="D18" s="6"/>
      <c r="E18" s="6"/>
      <c r="F18" s="6"/>
      <c r="G18" s="6"/>
      <c r="H18" s="6"/>
    </row>
    <row r="19" spans="1:8" x14ac:dyDescent="0.2">
      <c r="A19" s="6"/>
      <c r="B19" s="6"/>
      <c r="C19" s="6"/>
      <c r="D19" s="6"/>
      <c r="E19" s="6"/>
      <c r="F19" s="6"/>
      <c r="G19" s="6"/>
      <c r="H19" s="6"/>
    </row>
    <row r="20" spans="1:8" x14ac:dyDescent="0.2">
      <c r="A20" s="6"/>
      <c r="B20" s="6"/>
      <c r="C20" s="6"/>
      <c r="D20" s="6"/>
      <c r="E20" s="6"/>
      <c r="F20" s="6"/>
      <c r="G20" s="6"/>
      <c r="H20" s="6"/>
    </row>
    <row r="21" spans="1:8" x14ac:dyDescent="0.2">
      <c r="A21" s="6"/>
      <c r="B21" s="6"/>
      <c r="C21" s="6"/>
      <c r="D21" s="6"/>
      <c r="E21" s="6"/>
      <c r="F21" s="6"/>
      <c r="G21" s="6"/>
      <c r="H21" s="6"/>
    </row>
    <row r="22" spans="1:8" x14ac:dyDescent="0.2">
      <c r="A22" s="6"/>
      <c r="B22" s="6"/>
      <c r="C22" s="6"/>
      <c r="D22" s="6"/>
      <c r="E22" s="6"/>
      <c r="F22" s="6"/>
      <c r="G22" s="6"/>
      <c r="H22" s="6"/>
    </row>
    <row r="23" spans="1:8" x14ac:dyDescent="0.2">
      <c r="A23" s="6"/>
      <c r="B23" s="6"/>
      <c r="C23" s="6"/>
      <c r="D23" s="6"/>
      <c r="E23" s="6"/>
      <c r="F23" s="6"/>
      <c r="G23" s="6"/>
      <c r="H23" s="6"/>
    </row>
    <row r="24" spans="1:8" x14ac:dyDescent="0.2">
      <c r="A24" s="6"/>
      <c r="B24" s="6"/>
      <c r="C24" s="6"/>
      <c r="D24" s="6"/>
      <c r="E24" s="6"/>
      <c r="F24" s="6"/>
      <c r="G24" s="6"/>
      <c r="H24" s="6"/>
    </row>
    <row r="25" spans="1:8" x14ac:dyDescent="0.2">
      <c r="A25" s="6"/>
      <c r="B25" s="6"/>
      <c r="C25" s="6"/>
      <c r="D25" s="6"/>
      <c r="E25" s="6"/>
      <c r="F25" s="6"/>
      <c r="G25" s="6"/>
      <c r="H25" s="6"/>
    </row>
    <row r="28" spans="1:8" x14ac:dyDescent="0.2">
      <c r="A28" s="7" t="s">
        <v>29</v>
      </c>
    </row>
    <row r="29" spans="1:8" x14ac:dyDescent="0.2">
      <c r="A29" s="8" t="s">
        <v>30</v>
      </c>
    </row>
    <row r="30" spans="1:8" x14ac:dyDescent="0.2">
      <c r="A30" s="8" t="s">
        <v>31</v>
      </c>
    </row>
    <row r="31" spans="1:8" x14ac:dyDescent="0.2">
      <c r="A31" s="8" t="s">
        <v>32</v>
      </c>
    </row>
    <row r="32" spans="1:8" x14ac:dyDescent="0.2">
      <c r="A32" s="8" t="s">
        <v>33</v>
      </c>
    </row>
    <row r="33" spans="1:1" x14ac:dyDescent="0.2">
      <c r="A33" s="8" t="s">
        <v>34</v>
      </c>
    </row>
  </sheetData>
  <dataValidations count="3">
    <dataValidation type="list" allowBlank="1" sqref="E2:E1000" xr:uid="{00000000-0002-0000-0000-000000000000}">
      <formula1>"Y,N"</formula1>
      <formula2>0</formula2>
    </dataValidation>
    <dataValidation type="list" allowBlank="1" sqref="F2:F1000" xr:uid="{00000000-0002-0000-0000-000001000000}">
      <formula1>"Wrong Assumption,Missed Edge Case,Scope Creep,Style Mismatch,Logic Error,Other"</formula1>
      <formula2>0</formula2>
    </dataValidation>
    <dataValidation type="list" allowBlank="1" sqref="C2:C1000" xr:uid="{00000000-0002-0000-0000-000002000000}">
      <formula1>"Test Generation,New Feature,Refactor,Bug Fix,Documentation,Config/Boilerplate,Other"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60"/>
  <sheetViews>
    <sheetView zoomScaleNormal="100" workbookViewId="0">
      <selection sqref="A1:E1"/>
    </sheetView>
  </sheetViews>
  <sheetFormatPr baseColWidth="10" defaultColWidth="8.6640625" defaultRowHeight="15" x14ac:dyDescent="0.2"/>
  <cols>
    <col min="1" max="1" width="28" customWidth="1"/>
    <col min="2" max="4" width="16" customWidth="1"/>
    <col min="5" max="5" width="40" customWidth="1"/>
    <col min="6" max="6" width="3" customWidth="1"/>
  </cols>
  <sheetData>
    <row r="1" spans="1:7" ht="18" x14ac:dyDescent="0.2">
      <c r="A1" s="3" t="s">
        <v>35</v>
      </c>
      <c r="B1" s="3"/>
      <c r="C1" s="3"/>
      <c r="D1" s="3"/>
      <c r="E1" s="3"/>
    </row>
    <row r="2" spans="1:7" x14ac:dyDescent="0.2">
      <c r="A2" s="2" t="s">
        <v>36</v>
      </c>
      <c r="B2" s="2"/>
      <c r="C2" s="2"/>
      <c r="D2" s="2"/>
      <c r="E2" s="2"/>
    </row>
    <row r="4" spans="1:7" ht="16" x14ac:dyDescent="0.2">
      <c r="A4" s="9" t="s">
        <v>37</v>
      </c>
      <c r="G4" s="9" t="s">
        <v>38</v>
      </c>
    </row>
    <row r="5" spans="1:7" x14ac:dyDescent="0.2">
      <c r="A5" s="10" t="s">
        <v>39</v>
      </c>
      <c r="B5" s="11">
        <f>COUNTIF(Log!B2:B200,"?*")</f>
        <v>4</v>
      </c>
    </row>
    <row r="6" spans="1:7" x14ac:dyDescent="0.2">
      <c r="A6" s="10" t="s">
        <v>40</v>
      </c>
      <c r="B6" s="11">
        <f>COUNTIFS(Log!B2:B200,"?*",Log!E2:E200,"Y")</f>
        <v>2</v>
      </c>
    </row>
    <row r="7" spans="1:7" x14ac:dyDescent="0.2">
      <c r="A7" s="10" t="s">
        <v>41</v>
      </c>
      <c r="B7" s="12">
        <f>IFERROR(B6/B5,"—")</f>
        <v>0.5</v>
      </c>
    </row>
    <row r="10" spans="1:7" ht="16" x14ac:dyDescent="0.2">
      <c r="A10" s="9" t="s">
        <v>42</v>
      </c>
    </row>
    <row r="11" spans="1:7" x14ac:dyDescent="0.2">
      <c r="A11" s="13" t="s">
        <v>43</v>
      </c>
      <c r="B11" s="13" t="s">
        <v>44</v>
      </c>
    </row>
    <row r="12" spans="1:7" x14ac:dyDescent="0.2">
      <c r="A12" s="14" t="s">
        <v>18</v>
      </c>
      <c r="B12" s="14">
        <f>COUNTIFS(Log!$F$2:$F$1000,A12)</f>
        <v>1</v>
      </c>
    </row>
    <row r="13" spans="1:7" x14ac:dyDescent="0.2">
      <c r="A13" s="14" t="s">
        <v>45</v>
      </c>
      <c r="B13" s="14">
        <f>COUNTIFS(Log!$F$2:$F$1000,A13)</f>
        <v>0</v>
      </c>
    </row>
    <row r="14" spans="1:7" x14ac:dyDescent="0.2">
      <c r="A14" s="14" t="s">
        <v>23</v>
      </c>
      <c r="B14" s="14">
        <f>COUNTIFS(Log!$F$2:$F$1000,A14)</f>
        <v>1</v>
      </c>
    </row>
    <row r="15" spans="1:7" x14ac:dyDescent="0.2">
      <c r="A15" s="14" t="s">
        <v>46</v>
      </c>
      <c r="B15" s="14">
        <f>COUNTIFS(Log!$F$2:$F$1000,A15)</f>
        <v>0</v>
      </c>
    </row>
    <row r="16" spans="1:7" x14ac:dyDescent="0.2">
      <c r="A16" s="14" t="s">
        <v>47</v>
      </c>
      <c r="B16" s="14">
        <f>COUNTIFS(Log!$F$2:$F$1000,A16)</f>
        <v>0</v>
      </c>
    </row>
    <row r="17" spans="1:7" x14ac:dyDescent="0.2">
      <c r="A17" s="14" t="s">
        <v>48</v>
      </c>
      <c r="B17" s="14">
        <f>COUNTIFS(Log!$F$2:$F$1000,A17)</f>
        <v>0</v>
      </c>
    </row>
    <row r="20" spans="1:7" ht="16" x14ac:dyDescent="0.2">
      <c r="A20" s="9" t="s">
        <v>49</v>
      </c>
    </row>
    <row r="21" spans="1:7" x14ac:dyDescent="0.2">
      <c r="A21" s="13" t="s">
        <v>50</v>
      </c>
      <c r="B21" s="13" t="s">
        <v>51</v>
      </c>
      <c r="C21" s="13" t="s">
        <v>52</v>
      </c>
      <c r="D21" s="13" t="s">
        <v>53</v>
      </c>
    </row>
    <row r="22" spans="1:7" ht="16" x14ac:dyDescent="0.2">
      <c r="A22" s="14" t="s">
        <v>10</v>
      </c>
      <c r="B22" s="14">
        <f>COUNTIFS(Log!$C$2:$C$1000,A22)</f>
        <v>1</v>
      </c>
      <c r="C22" s="14">
        <f>COUNTIFS(Log!$C$2:$C$1000,A22,Log!$E$2:$E$1000,"Y")</f>
        <v>0</v>
      </c>
      <c r="D22" s="15">
        <f t="shared" ref="D22:D28" si="0">IFERROR(C22/B22,"—")</f>
        <v>0</v>
      </c>
      <c r="G22" s="9" t="s">
        <v>54</v>
      </c>
    </row>
    <row r="23" spans="1:7" x14ac:dyDescent="0.2">
      <c r="A23" s="14" t="s">
        <v>16</v>
      </c>
      <c r="B23" s="14">
        <f>COUNTIFS(Log!$C$2:$C$1000,A23)</f>
        <v>1</v>
      </c>
      <c r="C23" s="14">
        <f>COUNTIFS(Log!$C$2:$C$1000,A23,Log!$E$2:$E$1000,"Y")</f>
        <v>1</v>
      </c>
      <c r="D23" s="15">
        <f t="shared" si="0"/>
        <v>1</v>
      </c>
    </row>
    <row r="24" spans="1:7" x14ac:dyDescent="0.2">
      <c r="A24" s="14" t="s">
        <v>22</v>
      </c>
      <c r="B24" s="14">
        <f>COUNTIFS(Log!$C$2:$C$1000,A24)</f>
        <v>1</v>
      </c>
      <c r="C24" s="14">
        <f>COUNTIFS(Log!$C$2:$C$1000,A24,Log!$E$2:$E$1000,"Y")</f>
        <v>1</v>
      </c>
      <c r="D24" s="15">
        <f t="shared" si="0"/>
        <v>1</v>
      </c>
    </row>
    <row r="25" spans="1:7" x14ac:dyDescent="0.2">
      <c r="A25" s="14" t="s">
        <v>27</v>
      </c>
      <c r="B25" s="14">
        <f>COUNTIFS(Log!$C$2:$C$1000,A25)</f>
        <v>1</v>
      </c>
      <c r="C25" s="14">
        <f>COUNTIFS(Log!$C$2:$C$1000,A25,Log!$E$2:$E$1000,"Y")</f>
        <v>0</v>
      </c>
      <c r="D25" s="15">
        <f t="shared" si="0"/>
        <v>0</v>
      </c>
    </row>
    <row r="26" spans="1:7" x14ac:dyDescent="0.2">
      <c r="A26" s="14" t="s">
        <v>55</v>
      </c>
      <c r="B26" s="14">
        <f>COUNTIFS(Log!$C$2:$C$1000,A26)</f>
        <v>0</v>
      </c>
      <c r="C26" s="14">
        <f>COUNTIFS(Log!$C$2:$C$1000,A26,Log!$E$2:$E$1000,"Y")</f>
        <v>0</v>
      </c>
      <c r="D26" s="15" t="str">
        <f t="shared" si="0"/>
        <v>—</v>
      </c>
    </row>
    <row r="27" spans="1:7" x14ac:dyDescent="0.2">
      <c r="A27" s="14" t="s">
        <v>56</v>
      </c>
      <c r="B27" s="14">
        <f>COUNTIFS(Log!$C$2:$C$1000,A27)</f>
        <v>0</v>
      </c>
      <c r="C27" s="14">
        <f>COUNTIFS(Log!$C$2:$C$1000,A27,Log!$E$2:$E$1000,"Y")</f>
        <v>0</v>
      </c>
      <c r="D27" s="15" t="str">
        <f t="shared" si="0"/>
        <v>—</v>
      </c>
    </row>
    <row r="28" spans="1:7" x14ac:dyDescent="0.2">
      <c r="A28" s="14" t="s">
        <v>48</v>
      </c>
      <c r="B28" s="14">
        <f>COUNTIFS(Log!$C$2:$C$1000,A28)</f>
        <v>0</v>
      </c>
      <c r="C28" s="14">
        <f>COUNTIFS(Log!$C$2:$C$1000,A28,Log!$E$2:$E$1000,"Y")</f>
        <v>0</v>
      </c>
      <c r="D28" s="15" t="str">
        <f t="shared" si="0"/>
        <v>—</v>
      </c>
    </row>
    <row r="31" spans="1:7" x14ac:dyDescent="0.2">
      <c r="A31" s="8" t="s">
        <v>57</v>
      </c>
    </row>
    <row r="32" spans="1:7" x14ac:dyDescent="0.2">
      <c r="A32" s="8" t="s">
        <v>58</v>
      </c>
    </row>
    <row r="35" spans="1:7" x14ac:dyDescent="0.2">
      <c r="A35" s="16" t="s">
        <v>59</v>
      </c>
    </row>
    <row r="37" spans="1:7" x14ac:dyDescent="0.2">
      <c r="A37" s="13" t="s">
        <v>60</v>
      </c>
      <c r="B37" s="13" t="s">
        <v>61</v>
      </c>
    </row>
    <row r="38" spans="1:7" x14ac:dyDescent="0.2">
      <c r="A38" s="17">
        <v>1</v>
      </c>
      <c r="B38" s="18">
        <f>IF(COUNTIF(Log!$B$2:$B$200,"?*")&gt;=1,COUNTIFS(Log!$B$2:$B$2,"?*",Log!$E$2:$E$2,"Y")/1,NA())</f>
        <v>0</v>
      </c>
    </row>
    <row r="39" spans="1:7" x14ac:dyDescent="0.2">
      <c r="A39" s="17">
        <v>2</v>
      </c>
      <c r="B39" s="18">
        <f>IF(COUNTIF(Log!$B$2:$B$200,"?*")&gt;=2,COUNTIFS(Log!$B$2:$B$3,"?*",Log!$E$2:$E$3,"Y")/2,NA())</f>
        <v>0.5</v>
      </c>
    </row>
    <row r="40" spans="1:7" ht="16" x14ac:dyDescent="0.2">
      <c r="A40" s="17">
        <v>3</v>
      </c>
      <c r="B40" s="18">
        <f>IF(COUNTIF(Log!$B$2:$B$200,"?*")&gt;=3,COUNTIFS(Log!$B$2:$B$4,"?*",Log!$E$2:$E$4,"Y")/3,NA())</f>
        <v>0.66666666666666663</v>
      </c>
      <c r="G40" s="9" t="s">
        <v>62</v>
      </c>
    </row>
    <row r="41" spans="1:7" x14ac:dyDescent="0.2">
      <c r="A41" s="17">
        <v>4</v>
      </c>
      <c r="B41" s="18">
        <f>IF(COUNTIF(Log!$B$2:$B$200,"?*")&gt;=4,COUNTIFS(Log!$B$2:$B$5,"?*",Log!$E$2:$E$5,"Y")/4,NA())</f>
        <v>0.5</v>
      </c>
    </row>
    <row r="42" spans="1:7" x14ac:dyDescent="0.2">
      <c r="A42" s="17">
        <v>5</v>
      </c>
      <c r="B42" s="18" t="e">
        <f>IF(COUNTIF(Log!$B$2:$B$200,"?*")&gt;=5,COUNTIFS(Log!$B$2:$B$6,"?*",Log!$E$2:$E$6,"Y")/5,NA())</f>
        <v>#N/A</v>
      </c>
    </row>
    <row r="43" spans="1:7" x14ac:dyDescent="0.2">
      <c r="A43" s="17">
        <v>6</v>
      </c>
      <c r="B43" s="18" t="e">
        <f>IF(COUNTIF(Log!$B$2:$B$200,"?*")&gt;=6,COUNTIFS(Log!$B$2:$B$7,"?*",Log!$E$2:$E$7,"Y")/6,NA())</f>
        <v>#N/A</v>
      </c>
    </row>
    <row r="44" spans="1:7" x14ac:dyDescent="0.2">
      <c r="A44" s="17">
        <v>7</v>
      </c>
      <c r="B44" s="18" t="e">
        <f>IF(COUNTIF(Log!$B$2:$B$200,"?*")&gt;=7,COUNTIFS(Log!$B$2:$B$8,"?*",Log!$E$2:$E$8,"Y")/7,NA())</f>
        <v>#N/A</v>
      </c>
    </row>
    <row r="45" spans="1:7" x14ac:dyDescent="0.2">
      <c r="A45" s="17">
        <v>8</v>
      </c>
      <c r="B45" s="18" t="e">
        <f>IF(COUNTIF(Log!$B$2:$B$200,"?*")&gt;=8,COUNTIFS(Log!$B$2:$B$9,"?*",Log!$E$2:$E$9,"Y")/8,NA())</f>
        <v>#N/A</v>
      </c>
    </row>
    <row r="46" spans="1:7" x14ac:dyDescent="0.2">
      <c r="A46" s="17">
        <v>9</v>
      </c>
      <c r="B46" s="18" t="e">
        <f>IF(COUNTIF(Log!$B$2:$B$200,"?*")&gt;=9,COUNTIFS(Log!$B$2:$B$10,"?*",Log!$E$2:$E$10,"Y")/9,NA())</f>
        <v>#N/A</v>
      </c>
    </row>
    <row r="47" spans="1:7" x14ac:dyDescent="0.2">
      <c r="A47" s="17">
        <v>10</v>
      </c>
      <c r="B47" s="18" t="e">
        <f>IF(COUNTIF(Log!$B$2:$B$200,"?*")&gt;=10,COUNTIFS(Log!$B$2:$B$11,"?*",Log!$E$2:$E$11,"Y")/10,NA())</f>
        <v>#N/A</v>
      </c>
    </row>
    <row r="48" spans="1:7" x14ac:dyDescent="0.2">
      <c r="A48" s="17">
        <v>11</v>
      </c>
      <c r="B48" s="18" t="e">
        <f>IF(COUNTIF(Log!$B$2:$B$200,"?*")&gt;=11,COUNTIFS(Log!$B$2:$B$12,"?*",Log!$E$2:$E$12,"Y")/11,NA())</f>
        <v>#N/A</v>
      </c>
    </row>
    <row r="49" spans="1:10" x14ac:dyDescent="0.2">
      <c r="A49" s="17">
        <v>12</v>
      </c>
      <c r="B49" s="18" t="e">
        <f>IF(COUNTIF(Log!$B$2:$B$200,"?*")&gt;=12,COUNTIFS(Log!$B$2:$B$13,"?*",Log!$E$2:$E$13,"Y")/12,NA())</f>
        <v>#N/A</v>
      </c>
    </row>
    <row r="50" spans="1:10" x14ac:dyDescent="0.2">
      <c r="A50" s="17">
        <v>13</v>
      </c>
      <c r="B50" s="18" t="e">
        <f>IF(COUNTIF(Log!$B$2:$B$200,"?*")&gt;=13,COUNTIFS(Log!$B$2:$B$14,"?*",Log!$E$2:$E$14,"Y")/13,NA())</f>
        <v>#N/A</v>
      </c>
    </row>
    <row r="51" spans="1:10" x14ac:dyDescent="0.2">
      <c r="A51" s="17">
        <v>14</v>
      </c>
      <c r="B51" s="18" t="e">
        <f>IF(COUNTIF(Log!$B$2:$B$200,"?*")&gt;=14,COUNTIFS(Log!$B$2:$B$15,"?*",Log!$E$2:$E$15,"Y")/14,NA())</f>
        <v>#N/A</v>
      </c>
    </row>
    <row r="52" spans="1:10" x14ac:dyDescent="0.2">
      <c r="A52" s="17">
        <v>15</v>
      </c>
      <c r="B52" s="18" t="e">
        <f>IF(COUNTIF(Log!$B$2:$B$200,"?*")&gt;=15,COUNTIFS(Log!$B$2:$B$16,"?*",Log!$E$2:$E$16,"Y")/15,NA())</f>
        <v>#N/A</v>
      </c>
    </row>
    <row r="58" spans="1:10" x14ac:dyDescent="0.2">
      <c r="A58" s="1" t="str">
        <f>"Insights: "&amp;TEXT(SUM(B12:B13)/MAX(B5,1),"0%")&amp;" of corrections are Wrong Assumption or Missed Edge Case, pointing at spec clarity. Review the trend chart before concluding the agent itself is the problem."</f>
        <v>Insights: 25% of corrections are Wrong Assumption or Missed Edge Case, pointing at spec clarity. Review the trend chart before concluding the agent itself is the problem.</v>
      </c>
      <c r="B58" s="1"/>
      <c r="C58" s="1"/>
      <c r="D58" s="1"/>
      <c r="E58" s="1"/>
      <c r="F58" s="1"/>
      <c r="G58" s="1"/>
      <c r="H58" s="1"/>
      <c r="I58" s="1"/>
      <c r="J58" s="1"/>
    </row>
    <row r="59" spans="1:10" x14ac:dyDescent="0.2">
      <c r="A59" s="1"/>
      <c r="B59" s="1"/>
      <c r="C59" s="1"/>
      <c r="D59" s="1"/>
      <c r="E59" s="1"/>
      <c r="F59" s="1"/>
      <c r="G59" s="1"/>
      <c r="H59" s="1"/>
      <c r="I59" s="1"/>
      <c r="J59" s="1"/>
    </row>
    <row r="60" spans="1:10" x14ac:dyDescent="0.2">
      <c r="A60" s="1"/>
      <c r="B60" s="1"/>
      <c r="C60" s="1"/>
      <c r="D60" s="1"/>
      <c r="E60" s="1"/>
      <c r="F60" s="1"/>
      <c r="G60" s="1"/>
      <c r="H60" s="1"/>
      <c r="I60" s="1"/>
      <c r="J60" s="1"/>
    </row>
  </sheetData>
  <mergeCells count="3">
    <mergeCell ref="A1:E1"/>
    <mergeCell ref="A2:E2"/>
    <mergeCell ref="A58:J6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30"/>
  <sheetViews>
    <sheetView zoomScaleNormal="100" workbookViewId="0"/>
  </sheetViews>
  <sheetFormatPr baseColWidth="10" defaultColWidth="8.6640625" defaultRowHeight="15" x14ac:dyDescent="0.2"/>
  <cols>
    <col min="1" max="1" width="100" customWidth="1"/>
  </cols>
  <sheetData>
    <row r="1" spans="1:1" ht="20" x14ac:dyDescent="0.2">
      <c r="A1" s="19" t="s">
        <v>63</v>
      </c>
    </row>
    <row r="2" spans="1:1" x14ac:dyDescent="0.2">
      <c r="A2" s="17"/>
    </row>
    <row r="3" spans="1:1" x14ac:dyDescent="0.2">
      <c r="A3" s="7" t="s">
        <v>64</v>
      </c>
    </row>
    <row r="4" spans="1:1" x14ac:dyDescent="0.2">
      <c r="A4" s="17" t="s">
        <v>65</v>
      </c>
    </row>
    <row r="5" spans="1:1" x14ac:dyDescent="0.2">
      <c r="A5" s="17" t="s">
        <v>66</v>
      </c>
    </row>
    <row r="6" spans="1:1" x14ac:dyDescent="0.2">
      <c r="A6" s="17" t="s">
        <v>67</v>
      </c>
    </row>
    <row r="7" spans="1:1" x14ac:dyDescent="0.2">
      <c r="A7" s="17"/>
    </row>
    <row r="8" spans="1:1" x14ac:dyDescent="0.2">
      <c r="A8" s="7" t="s">
        <v>68</v>
      </c>
    </row>
    <row r="9" spans="1:1" x14ac:dyDescent="0.2">
      <c r="A9" s="17" t="s">
        <v>69</v>
      </c>
    </row>
    <row r="10" spans="1:1" x14ac:dyDescent="0.2">
      <c r="A10" s="17" t="s">
        <v>70</v>
      </c>
    </row>
    <row r="11" spans="1:1" x14ac:dyDescent="0.2">
      <c r="A11" s="17" t="s">
        <v>71</v>
      </c>
    </row>
    <row r="12" spans="1:1" x14ac:dyDescent="0.2">
      <c r="A12" s="17" t="s">
        <v>72</v>
      </c>
    </row>
    <row r="13" spans="1:1" x14ac:dyDescent="0.2">
      <c r="A13" s="17"/>
    </row>
    <row r="14" spans="1:1" x14ac:dyDescent="0.2">
      <c r="A14" s="7" t="s">
        <v>73</v>
      </c>
    </row>
    <row r="15" spans="1:1" x14ac:dyDescent="0.2">
      <c r="A15" s="17" t="s">
        <v>74</v>
      </c>
    </row>
    <row r="16" spans="1:1" x14ac:dyDescent="0.2">
      <c r="A16" s="17" t="s">
        <v>75</v>
      </c>
    </row>
    <row r="17" spans="1:1" x14ac:dyDescent="0.2">
      <c r="A17" s="17" t="s">
        <v>76</v>
      </c>
    </row>
    <row r="18" spans="1:1" x14ac:dyDescent="0.2">
      <c r="A18" s="17" t="s">
        <v>77</v>
      </c>
    </row>
    <row r="19" spans="1:1" x14ac:dyDescent="0.2">
      <c r="A19" s="17" t="s">
        <v>78</v>
      </c>
    </row>
    <row r="20" spans="1:1" x14ac:dyDescent="0.2">
      <c r="A20" s="17"/>
    </row>
    <row r="21" spans="1:1" x14ac:dyDescent="0.2">
      <c r="A21" s="7" t="s">
        <v>79</v>
      </c>
    </row>
    <row r="22" spans="1:1" x14ac:dyDescent="0.2">
      <c r="A22" s="17" t="s">
        <v>80</v>
      </c>
    </row>
    <row r="23" spans="1:1" x14ac:dyDescent="0.2">
      <c r="A23" s="17" t="s">
        <v>81</v>
      </c>
    </row>
    <row r="24" spans="1:1" x14ac:dyDescent="0.2">
      <c r="A24" s="17" t="s">
        <v>82</v>
      </c>
    </row>
    <row r="25" spans="1:1" x14ac:dyDescent="0.2">
      <c r="A25" s="17"/>
    </row>
    <row r="26" spans="1:1" x14ac:dyDescent="0.2">
      <c r="A26" s="7" t="s">
        <v>83</v>
      </c>
    </row>
    <row r="27" spans="1:1" x14ac:dyDescent="0.2">
      <c r="A27" s="17" t="s">
        <v>84</v>
      </c>
    </row>
    <row r="28" spans="1:1" x14ac:dyDescent="0.2">
      <c r="A28" s="17" t="s">
        <v>85</v>
      </c>
    </row>
    <row r="29" spans="1:1" x14ac:dyDescent="0.2">
      <c r="A29" s="17" t="s">
        <v>86</v>
      </c>
    </row>
    <row r="30" spans="1:1" x14ac:dyDescent="0.2">
      <c r="A30" s="17" t="s">
        <v>87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</vt:lpstr>
      <vt:lpstr>Dashboard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Prasad M.K.</cp:lastModifiedBy>
  <cp:revision>1</cp:revision>
  <dcterms:created xsi:type="dcterms:W3CDTF">2026-08-04T22:54:51Z</dcterms:created>
  <dcterms:modified xsi:type="dcterms:W3CDTF">2026-08-04T22:57:03Z</dcterms:modified>
  <dc:language>en-US</dc:language>
</cp:coreProperties>
</file>